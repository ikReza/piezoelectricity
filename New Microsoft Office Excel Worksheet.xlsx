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2" i="1"/>
  <c r="G12"/>
</calcChain>
</file>

<file path=xl/sharedStrings.xml><?xml version="1.0" encoding="utf-8"?>
<sst xmlns="http://schemas.openxmlformats.org/spreadsheetml/2006/main" count="38" uniqueCount="36">
  <si>
    <t>Motor Cycle</t>
  </si>
  <si>
    <t>0.882+0.882</t>
  </si>
  <si>
    <t>Scooter</t>
  </si>
  <si>
    <t>Car</t>
  </si>
  <si>
    <t>Micro Bus</t>
  </si>
  <si>
    <t>Mini Bus</t>
  </si>
  <si>
    <t>Bus</t>
  </si>
  <si>
    <t>Truck</t>
  </si>
  <si>
    <t>Trailer</t>
  </si>
  <si>
    <t>Toll Free</t>
  </si>
  <si>
    <t>0.735+0.735</t>
  </si>
  <si>
    <t>3.675+3.675</t>
  </si>
  <si>
    <t>3.0625+3.0625</t>
  </si>
  <si>
    <t>32.7+2*32.7</t>
  </si>
  <si>
    <t>21.7+2*21.7+2*21.7+2*21.7+2*21.7</t>
  </si>
  <si>
    <t>0.49+0.49</t>
  </si>
  <si>
    <t>24.5+2*24.5+2*24.5</t>
  </si>
  <si>
    <t>year</t>
  </si>
  <si>
    <t>% of volume</t>
  </si>
  <si>
    <t>Frequency in year</t>
  </si>
  <si>
    <t>annual generation</t>
  </si>
  <si>
    <t>volume(10.3%)</t>
  </si>
  <si>
    <t>volume(20%)</t>
  </si>
  <si>
    <t>Vehicle Type</t>
  </si>
  <si>
    <t>Load applied for single passing</t>
  </si>
  <si>
    <t>Expected generation per single movement</t>
  </si>
  <si>
    <t>Total amount(mW)</t>
  </si>
  <si>
    <t>3.675*5.912 + 3.675*5.912</t>
  </si>
  <si>
    <t>0.735*0.988 + 0.735*0.988</t>
  </si>
  <si>
    <t>o.882*1.306 + 0.882*1.306</t>
  </si>
  <si>
    <t>3.0625*5.105 + 3.0625*5.105</t>
  </si>
  <si>
    <t>24.5*16.357 + 2*24.5*30.829*2</t>
  </si>
  <si>
    <t>21.7*14.851 + 2*21.7*27.88*3</t>
  </si>
  <si>
    <t>0.49*0.439 + 0.49*0.439</t>
  </si>
  <si>
    <t>32.7*21.468 + 2*32.7*40.349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</si>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</sst>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>
      <selection activeCell="E15" sqref="E15"/>
    </sheetView>
  </sheetViews>
  <sheetFormatPr defaultRowHeight="15"/>
  <cols>
    <col min="1" max="1" width="13" customWidth="1"/>
    <col min="2" max="2" width="31.28515625" customWidth="1"/>
    <col min="3" max="3" width="32.85546875" customWidth="1"/>
    <col min="4" max="4" width="18.85546875" customWidth="1"/>
    <col min="5" max="5" width="18.28515625" customWidth="1"/>
    <col min="6" max="6" width="18.5703125" customWidth="1"/>
    <col min="7" max="7" width="18.42578125" customWidth="1"/>
  </cols>
  <sheetData>
    <row r="1" spans="1:7">
      <c r="A1" s="12" t="s">
        <v>23</v>
      </c>
      <c r="B1" s="12" t="s">
        <v>24</v>
      </c>
      <c r="C1" s="11" t="s">
        <v>25</v>
      </c>
      <c r="D1" s="12" t="s">
        <v>26</v>
      </c>
    </row>
    <row r="2" spans="1:7">
      <c r="A2" s="12"/>
      <c r="B2" s="12"/>
      <c r="C2" s="11"/>
      <c r="D2" s="12"/>
      <c r="E2" t="s">
        <v>18</v>
      </c>
      <c r="F2" t="s">
        <v>19</v>
      </c>
      <c r="G2" t="s">
        <v>20</v>
      </c>
    </row>
    <row r="3" spans="1:7">
      <c r="A3" s="13" t="s">
        <v>0</v>
      </c>
      <c r="B3" s="10" t="s">
        <v>1</v>
      </c>
      <c r="C3" s="10" t="s">
        <v>29</v>
      </c>
      <c r="D3" s="14">
        <v>2.3039999999999998</v>
      </c>
      <c r="E3">
        <v>0.83250000000000002</v>
      </c>
      <c r="F3">
        <v>107534</v>
      </c>
      <c r="G3">
        <v>31465.3</v>
      </c>
    </row>
    <row r="4" spans="1:7">
      <c r="A4" s="3" t="s">
        <v>2</v>
      </c>
      <c r="B4" s="1" t="s">
        <v>10</v>
      </c>
      <c r="C4" s="1" t="s">
        <v>28</v>
      </c>
      <c r="D4" s="4">
        <v>1.452</v>
      </c>
      <c r="E4">
        <v>5.1669999999999998</v>
      </c>
      <c r="F4">
        <v>667423</v>
      </c>
      <c r="G4">
        <v>123075.5</v>
      </c>
    </row>
    <row r="5" spans="1:7">
      <c r="A5" s="3" t="s">
        <v>3</v>
      </c>
      <c r="B5" s="1" t="s">
        <v>11</v>
      </c>
      <c r="C5" s="1" t="s">
        <v>27</v>
      </c>
      <c r="D5" s="4">
        <v>43.453000000000003</v>
      </c>
      <c r="E5">
        <v>13.425000000000001</v>
      </c>
      <c r="F5">
        <v>1734110</v>
      </c>
      <c r="G5">
        <v>9569739.8000000007</v>
      </c>
    </row>
    <row r="6" spans="1:7">
      <c r="A6" s="3" t="s">
        <v>4</v>
      </c>
      <c r="B6" s="1" t="s">
        <v>12</v>
      </c>
      <c r="C6" s="1" t="s">
        <v>30</v>
      </c>
      <c r="D6" s="4">
        <v>15.358000000000001</v>
      </c>
      <c r="E6">
        <v>17.649999999999999</v>
      </c>
      <c r="F6">
        <v>2279854</v>
      </c>
      <c r="G6">
        <v>4446777.7</v>
      </c>
    </row>
    <row r="7" spans="1:7">
      <c r="A7" s="3" t="s">
        <v>5</v>
      </c>
      <c r="B7" s="1" t="s">
        <v>11</v>
      </c>
      <c r="C7" s="1" t="s">
        <v>27</v>
      </c>
      <c r="D7" s="4">
        <v>43.453000000000003</v>
      </c>
      <c r="E7">
        <v>9.5500000000000007</v>
      </c>
      <c r="F7">
        <v>1233576</v>
      </c>
      <c r="G7">
        <v>6807527.4000000004</v>
      </c>
    </row>
    <row r="8" spans="1:7">
      <c r="A8" s="3" t="s">
        <v>6</v>
      </c>
      <c r="B8" s="1" t="s">
        <v>13</v>
      </c>
      <c r="C8" s="1" t="s">
        <v>34</v>
      </c>
      <c r="D8" s="4">
        <v>3340.828</v>
      </c>
      <c r="E8">
        <v>13.99</v>
      </c>
      <c r="F8">
        <v>1807091</v>
      </c>
      <c r="G8">
        <v>766721886.79999995</v>
      </c>
    </row>
    <row r="9" spans="1:7">
      <c r="A9" s="3" t="s">
        <v>7</v>
      </c>
      <c r="B9" s="1" t="s">
        <v>16</v>
      </c>
      <c r="C9" s="1" t="s">
        <v>31</v>
      </c>
      <c r="D9" s="4">
        <v>3422</v>
      </c>
      <c r="E9">
        <v>33.33</v>
      </c>
      <c r="F9">
        <v>4305243</v>
      </c>
      <c r="G9">
        <v>1871032776</v>
      </c>
    </row>
    <row r="10" spans="1:7">
      <c r="A10" s="3" t="s">
        <v>8</v>
      </c>
      <c r="B10" s="1" t="s">
        <v>14</v>
      </c>
      <c r="C10" s="1" t="s">
        <v>32</v>
      </c>
      <c r="D10" s="4">
        <v>3952.2429999999999</v>
      </c>
      <c r="E10">
        <v>2.0499999999999998</v>
      </c>
      <c r="F10">
        <v>264799</v>
      </c>
      <c r="G10">
        <v>132911849.3</v>
      </c>
    </row>
    <row r="11" spans="1:7">
      <c r="A11" s="3" t="s">
        <v>9</v>
      </c>
      <c r="B11" s="1" t="s">
        <v>15</v>
      </c>
      <c r="C11" s="1" t="s">
        <v>33</v>
      </c>
      <c r="D11" s="4">
        <v>0.43</v>
      </c>
      <c r="E11">
        <v>4.04</v>
      </c>
      <c r="F11">
        <v>521848</v>
      </c>
      <c r="G11">
        <v>28498.2</v>
      </c>
    </row>
    <row r="12" spans="1:7" ht="15.75" thickBot="1">
      <c r="A12" s="7" t="s">
        <v>35</v>
      </c>
      <c r="B12" s="8"/>
      <c r="C12" s="9"/>
      <c r="D12" s="5">
        <v>10821.521000000001</v>
      </c>
      <c r="F12">
        <f>SUM(F3:F11)</f>
        <v>12921478</v>
      </c>
      <c r="G12">
        <f>SUM(G3:G11)</f>
        <v>2791673596</v>
      </c>
    </row>
    <row r="13" spans="1:7">
      <c r="A13" s="2"/>
      <c r="B13" s="2"/>
      <c r="C13" s="2"/>
      <c r="D13" s="2"/>
    </row>
    <row r="14" spans="1:7">
      <c r="B14" s="6" t="s">
        <v>17</v>
      </c>
      <c r="C14" s="6" t="s">
        <v>21</v>
      </c>
      <c r="D14" t="s">
        <v>22</v>
      </c>
    </row>
    <row r="15" spans="1:7">
      <c r="B15">
        <v>2021</v>
      </c>
      <c r="C15">
        <v>12917021</v>
      </c>
      <c r="D15">
        <v>48192013</v>
      </c>
    </row>
    <row r="16" spans="1:7">
      <c r="B16">
        <v>2022</v>
      </c>
      <c r="C16">
        <v>14247475</v>
      </c>
      <c r="D16">
        <v>57830416</v>
      </c>
    </row>
    <row r="17" spans="2:4">
      <c r="B17">
        <v>2023</v>
      </c>
      <c r="C17">
        <v>15714964</v>
      </c>
      <c r="D17">
        <v>69396500</v>
      </c>
    </row>
    <row r="18" spans="2:4">
      <c r="B18">
        <v>2024</v>
      </c>
      <c r="C18">
        <v>17333606</v>
      </c>
      <c r="D18">
        <v>83275800</v>
      </c>
    </row>
    <row r="19" spans="2:4">
      <c r="B19">
        <v>2025</v>
      </c>
      <c r="C19">
        <v>19118967</v>
      </c>
      <c r="D19">
        <v>99930958</v>
      </c>
    </row>
    <row r="20" spans="2:4">
      <c r="B20">
        <v>2026</v>
      </c>
      <c r="C20">
        <v>21088221</v>
      </c>
      <c r="D20">
        <v>119917151</v>
      </c>
    </row>
    <row r="21" spans="2:4">
      <c r="B21">
        <v>2027</v>
      </c>
      <c r="C21">
        <v>23260307</v>
      </c>
      <c r="D21">
        <v>143900580</v>
      </c>
    </row>
    <row r="22" spans="2:4">
      <c r="B22">
        <v>2028</v>
      </c>
      <c r="C22">
        <v>25656119</v>
      </c>
      <c r="D22">
        <v>172680696</v>
      </c>
    </row>
    <row r="23" spans="2:4">
      <c r="B23">
        <v>2029</v>
      </c>
      <c r="C23">
        <v>28298700</v>
      </c>
      <c r="D23">
        <v>207216836</v>
      </c>
    </row>
    <row r="24" spans="2:4">
      <c r="B24">
        <v>2030</v>
      </c>
      <c r="C24">
        <v>31213465</v>
      </c>
      <c r="D24">
        <v>248660203</v>
      </c>
    </row>
    <row r="25" spans="2:4">
      <c r="B25">
        <v>2031</v>
      </c>
      <c r="C25">
        <v>34428452</v>
      </c>
      <c r="D25">
        <v>298392244</v>
      </c>
    </row>
  </sheetData>
  <mergeCells count="5">
    <mergeCell ref="A1:A2"/>
    <mergeCell ref="B1:B2"/>
    <mergeCell ref="C1:C2"/>
    <mergeCell ref="D1:D2"/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2020-10-29T15:49:05Z</dcterms:modified>
</cp:coreProperties>
</file>